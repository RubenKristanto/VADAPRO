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uliah\"/>
    </mc:Choice>
  </mc:AlternateContent>
  <xr:revisionPtr revIDLastSave="0" documentId="13_ncr:1_{17F1DB4D-7D1A-4768-9D26-239DD699D743}" xr6:coauthVersionLast="47" xr6:coauthVersionMax="47" xr10:uidLastSave="{00000000-0000-0000-0000-000000000000}"/>
  <bookViews>
    <workbookView xWindow="-110" yWindow="-110" windowWidth="25820" windowHeight="13900" xr2:uid="{CBA770B8-7649-413F-BE84-62FD9F6E2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L12" i="1"/>
  <c r="M12" i="1"/>
  <c r="N12" i="1"/>
  <c r="J12" i="1"/>
  <c r="D21" i="1"/>
  <c r="L5" i="1"/>
  <c r="L6" i="1"/>
  <c r="L7" i="1"/>
  <c r="L8" i="1"/>
  <c r="L9" i="1"/>
  <c r="L10" i="1"/>
  <c r="L11" i="1"/>
  <c r="M5" i="1"/>
  <c r="M6" i="1"/>
  <c r="M7" i="1"/>
  <c r="M8" i="1"/>
  <c r="M9" i="1"/>
  <c r="M10" i="1"/>
  <c r="M11" i="1"/>
  <c r="L4" i="1"/>
  <c r="N5" i="1"/>
  <c r="N6" i="1"/>
  <c r="N7" i="1"/>
  <c r="N8" i="1"/>
  <c r="N9" i="1"/>
  <c r="N10" i="1"/>
  <c r="N11" i="1"/>
  <c r="N4" i="1"/>
  <c r="E13" i="1"/>
  <c r="N3" i="1"/>
  <c r="N2" i="1"/>
  <c r="E9" i="1"/>
  <c r="E4" i="1"/>
  <c r="E2" i="1"/>
  <c r="D30" i="1"/>
  <c r="D27" i="1"/>
  <c r="D24" i="1"/>
  <c r="D25" i="1"/>
  <c r="D22" i="1"/>
  <c r="D19" i="1"/>
  <c r="B15" i="1"/>
  <c r="C15" i="1"/>
  <c r="D15" i="1"/>
  <c r="E15" i="1"/>
  <c r="E5" i="1"/>
  <c r="E6" i="1"/>
  <c r="E7" i="1"/>
  <c r="E8" i="1"/>
  <c r="E10" i="1"/>
  <c r="E11" i="1"/>
  <c r="E12" i="1"/>
  <c r="E14" i="1"/>
  <c r="D5" i="1"/>
  <c r="D6" i="1"/>
  <c r="D7" i="1"/>
  <c r="D8" i="1"/>
  <c r="D9" i="1"/>
  <c r="D10" i="1"/>
  <c r="D11" i="1"/>
  <c r="D12" i="1"/>
  <c r="D13" i="1"/>
  <c r="D14" i="1"/>
  <c r="C5" i="1"/>
  <c r="C6" i="1"/>
  <c r="C7" i="1"/>
  <c r="C8" i="1"/>
  <c r="C9" i="1"/>
  <c r="C10" i="1"/>
  <c r="C11" i="1"/>
  <c r="C12" i="1"/>
  <c r="C13" i="1"/>
  <c r="C14" i="1"/>
  <c r="A15" i="1"/>
  <c r="M4" i="1"/>
  <c r="M3" i="1"/>
  <c r="L3" i="1"/>
  <c r="M2" i="1"/>
  <c r="L2" i="1"/>
  <c r="C2" i="1"/>
  <c r="E3" i="1"/>
  <c r="D3" i="1"/>
  <c r="D4" i="1"/>
  <c r="D2" i="1"/>
  <c r="C3" i="1"/>
  <c r="C4" i="1"/>
  <c r="D28" i="1" l="1"/>
</calcChain>
</file>

<file path=xl/sharedStrings.xml><?xml version="1.0" encoding="utf-8"?>
<sst xmlns="http://schemas.openxmlformats.org/spreadsheetml/2006/main" count="18" uniqueCount="15">
  <si>
    <t xml:space="preserve"> XY</t>
  </si>
  <si>
    <t>Y^2</t>
  </si>
  <si>
    <t>X^2</t>
  </si>
  <si>
    <t>mean (x)</t>
  </si>
  <si>
    <t>mean (y)</t>
  </si>
  <si>
    <t>SD (x)</t>
  </si>
  <si>
    <t>SD (y)</t>
  </si>
  <si>
    <t>b</t>
  </si>
  <si>
    <t>a</t>
  </si>
  <si>
    <t xml:space="preserve">Korelasi </t>
  </si>
  <si>
    <t>Dy</t>
  </si>
  <si>
    <t>Y(dL)</t>
  </si>
  <si>
    <t>x(dT)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</si>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</sst>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2975284339457571E-2"/>
                  <c:y val="-0.101637503645377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Sheet1!$K$2:$K$11</c:f>
              <c:numCache>
                <c:formatCode>General</c:formatCode>
                <c:ptCount val="10"/>
                <c:pt idx="0">
                  <c:v>0</c:v>
                </c:pt>
                <c:pt idx="1">
                  <c:v>108</c:v>
                </c:pt>
                <c:pt idx="2">
                  <c:v>73</c:v>
                </c:pt>
                <c:pt idx="3">
                  <c:v>23</c:v>
                </c:pt>
                <c:pt idx="4">
                  <c:v>19</c:v>
                </c:pt>
                <c:pt idx="5">
                  <c:v>70</c:v>
                </c:pt>
                <c:pt idx="6">
                  <c:v>62</c:v>
                </c:pt>
                <c:pt idx="7">
                  <c:v>22</c:v>
                </c:pt>
                <c:pt idx="8">
                  <c:v>13</c:v>
                </c:pt>
                <c:pt idx="9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46-4916-84FA-B331BF6D3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11551"/>
        <c:axId val="450505311"/>
      </c:scatterChart>
      <c:valAx>
        <c:axId val="45051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505311"/>
        <c:crosses val="autoZero"/>
        <c:crossBetween val="midCat"/>
      </c:valAx>
      <c:valAx>
        <c:axId val="45050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51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422275</xdr:colOff>
      <xdr:row>14</xdr:row>
      <xdr:rowOff>12700</xdr:rowOff>
    </xdr:from>
    <xdr:to>
      <xdr:col>15</xdr:col>
      <xdr:colOff>581025</xdr:colOff>
      <xdr:row>28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D83E6-6CD7-AFE0-A92E-1F7A14EC8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1C70-FE09-4F49-9FAC-ABC77DBB2371}">
  <dimension ref="A1:W30"/>
  <sheetViews>
    <sheetView tabSelected="1" workbookViewId="0">
      <selection activeCell="R25" sqref="R25"/>
    </sheetView>
  </sheetViews>
  <sheetFormatPr defaultRowHeight="14.5" x14ac:dyDescent="0.35"/>
  <cols>
    <col min="3" max="5" width="11.81640625" bestFit="1" customWidth="1"/>
    <col min="8" max="8" width="11.81640625" bestFit="1" customWidth="1"/>
    <col min="14" max="14" width="10.81640625" bestFit="1" customWidth="1"/>
  </cols>
  <sheetData>
    <row r="1" spans="1:23" x14ac:dyDescent="0.35">
      <c r="A1" s="1" t="s">
        <v>12</v>
      </c>
      <c r="B1" s="1" t="s">
        <v>11</v>
      </c>
      <c r="C1" s="1" t="s">
        <v>0</v>
      </c>
      <c r="D1" s="1" t="s">
        <v>2</v>
      </c>
      <c r="E1" s="1" t="s">
        <v>1</v>
      </c>
      <c r="F1" s="1"/>
      <c r="J1" s="1" t="s">
        <v>13</v>
      </c>
      <c r="K1" s="1" t="s">
        <v>14</v>
      </c>
      <c r="L1" s="1" t="s">
        <v>0</v>
      </c>
      <c r="M1" s="1" t="s">
        <v>2</v>
      </c>
      <c r="N1" s="1" t="s">
        <v>1</v>
      </c>
      <c r="O1" s="1"/>
      <c r="R1" s="1"/>
      <c r="S1" s="1"/>
      <c r="T1" s="1"/>
      <c r="U1" s="1"/>
      <c r="V1" s="1"/>
      <c r="W1" s="1"/>
    </row>
    <row r="2" spans="1:23" x14ac:dyDescent="0.35">
      <c r="A2">
        <v>42</v>
      </c>
      <c r="B2">
        <v>5.8000000000000003E-2</v>
      </c>
      <c r="C2">
        <f>A2*B2</f>
        <v>2.4359999999999999</v>
      </c>
      <c r="D2">
        <f>A2^2</f>
        <v>1764</v>
      </c>
      <c r="E2">
        <f>B2^2</f>
        <v>3.3640000000000002E-3</v>
      </c>
      <c r="F2" s="1"/>
      <c r="J2">
        <v>0</v>
      </c>
      <c r="K2">
        <v>0</v>
      </c>
      <c r="L2">
        <f>J2*K2</f>
        <v>0</v>
      </c>
      <c r="M2">
        <f>J2^2</f>
        <v>0</v>
      </c>
      <c r="N2">
        <f>K2^2</f>
        <v>0</v>
      </c>
      <c r="O2" s="1"/>
      <c r="W2" s="1"/>
    </row>
    <row r="3" spans="1:23" x14ac:dyDescent="0.35">
      <c r="A3">
        <v>40</v>
      </c>
      <c r="B3">
        <v>5.7000000000000002E-2</v>
      </c>
      <c r="C3">
        <f t="shared" ref="C3:C14" si="0">A3*B3</f>
        <v>2.2800000000000002</v>
      </c>
      <c r="D3">
        <f t="shared" ref="D3:D14" si="1">A3^2</f>
        <v>1600</v>
      </c>
      <c r="E3">
        <f t="shared" ref="E3:E14" si="2">B3^2</f>
        <v>3.2490000000000002E-3</v>
      </c>
      <c r="F3" s="1"/>
      <c r="J3">
        <v>1</v>
      </c>
      <c r="K3">
        <v>108</v>
      </c>
      <c r="L3">
        <f t="shared" ref="L3" si="3">J3*K3</f>
        <v>108</v>
      </c>
      <c r="M3">
        <f t="shared" ref="M3:M11" si="4">J3^2</f>
        <v>1</v>
      </c>
      <c r="N3">
        <f>K3^2</f>
        <v>11664</v>
      </c>
      <c r="O3" s="1"/>
      <c r="W3" s="1"/>
    </row>
    <row r="4" spans="1:23" x14ac:dyDescent="0.35">
      <c r="A4">
        <v>38</v>
      </c>
      <c r="B4">
        <v>5.6000000000000001E-2</v>
      </c>
      <c r="C4">
        <f t="shared" si="0"/>
        <v>2.1280000000000001</v>
      </c>
      <c r="D4">
        <f t="shared" si="1"/>
        <v>1444</v>
      </c>
      <c r="E4">
        <f>B4^2</f>
        <v>3.1360000000000003E-3</v>
      </c>
      <c r="F4" s="1"/>
      <c r="J4">
        <v>2</v>
      </c>
      <c r="K4">
        <v>73</v>
      </c>
      <c r="L4">
        <f>J4*K4</f>
        <v>146</v>
      </c>
      <c r="M4">
        <f t="shared" si="4"/>
        <v>4</v>
      </c>
      <c r="N4">
        <f>K4^2</f>
        <v>5329</v>
      </c>
      <c r="O4" s="1"/>
      <c r="W4" s="1"/>
    </row>
    <row r="5" spans="1:23" x14ac:dyDescent="0.35">
      <c r="A5">
        <v>36</v>
      </c>
      <c r="B5">
        <v>5.5E-2</v>
      </c>
      <c r="C5">
        <f t="shared" si="0"/>
        <v>1.98</v>
      </c>
      <c r="D5">
        <f t="shared" si="1"/>
        <v>1296</v>
      </c>
      <c r="E5">
        <f t="shared" si="2"/>
        <v>3.0249999999999999E-3</v>
      </c>
      <c r="F5" s="1"/>
      <c r="J5">
        <v>3</v>
      </c>
      <c r="K5">
        <v>23</v>
      </c>
      <c r="L5">
        <f t="shared" ref="L5:L11" si="5">J5*K5</f>
        <v>69</v>
      </c>
      <c r="M5">
        <f t="shared" si="4"/>
        <v>9</v>
      </c>
      <c r="N5">
        <f t="shared" ref="N5:N11" si="6">K5^2</f>
        <v>529</v>
      </c>
      <c r="O5" s="1"/>
      <c r="W5" s="1"/>
    </row>
    <row r="6" spans="1:23" x14ac:dyDescent="0.35">
      <c r="A6">
        <v>34</v>
      </c>
      <c r="B6">
        <v>5.3999999999999999E-2</v>
      </c>
      <c r="C6">
        <f t="shared" si="0"/>
        <v>1.8360000000000001</v>
      </c>
      <c r="D6">
        <f t="shared" si="1"/>
        <v>1156</v>
      </c>
      <c r="E6">
        <f t="shared" si="2"/>
        <v>2.9159999999999998E-3</v>
      </c>
      <c r="F6" s="1"/>
      <c r="J6">
        <v>4</v>
      </c>
      <c r="K6">
        <v>19</v>
      </c>
      <c r="L6">
        <f t="shared" si="5"/>
        <v>76</v>
      </c>
      <c r="M6">
        <f t="shared" si="4"/>
        <v>16</v>
      </c>
      <c r="N6">
        <f t="shared" si="6"/>
        <v>361</v>
      </c>
      <c r="O6" s="1"/>
      <c r="W6" s="1"/>
    </row>
    <row r="7" spans="1:23" x14ac:dyDescent="0.35">
      <c r="A7">
        <v>32</v>
      </c>
      <c r="B7">
        <v>5.2999999999999999E-2</v>
      </c>
      <c r="C7">
        <f t="shared" si="0"/>
        <v>1.696</v>
      </c>
      <c r="D7">
        <f t="shared" si="1"/>
        <v>1024</v>
      </c>
      <c r="E7">
        <f t="shared" si="2"/>
        <v>2.8089999999999999E-3</v>
      </c>
      <c r="J7">
        <v>5</v>
      </c>
      <c r="K7">
        <v>70</v>
      </c>
      <c r="L7">
        <f t="shared" si="5"/>
        <v>350</v>
      </c>
      <c r="M7">
        <f t="shared" si="4"/>
        <v>25</v>
      </c>
      <c r="N7">
        <f t="shared" si="6"/>
        <v>4900</v>
      </c>
    </row>
    <row r="8" spans="1:23" x14ac:dyDescent="0.35">
      <c r="A8">
        <v>30</v>
      </c>
      <c r="B8">
        <v>5.1999999999999998E-2</v>
      </c>
      <c r="C8">
        <f t="shared" si="0"/>
        <v>1.5599999999999998</v>
      </c>
      <c r="D8">
        <f t="shared" si="1"/>
        <v>900</v>
      </c>
      <c r="E8">
        <f t="shared" si="2"/>
        <v>2.7039999999999998E-3</v>
      </c>
      <c r="J8">
        <v>6</v>
      </c>
      <c r="K8">
        <v>62</v>
      </c>
      <c r="L8">
        <f t="shared" si="5"/>
        <v>372</v>
      </c>
      <c r="M8">
        <f t="shared" si="4"/>
        <v>36</v>
      </c>
      <c r="N8">
        <f t="shared" si="6"/>
        <v>3844</v>
      </c>
    </row>
    <row r="9" spans="1:23" x14ac:dyDescent="0.35">
      <c r="A9">
        <v>28</v>
      </c>
      <c r="B9">
        <v>5.0999999999999997E-2</v>
      </c>
      <c r="C9">
        <f t="shared" si="0"/>
        <v>1.4279999999999999</v>
      </c>
      <c r="D9">
        <f t="shared" si="1"/>
        <v>784</v>
      </c>
      <c r="E9">
        <f>B9^2</f>
        <v>2.6009999999999996E-3</v>
      </c>
      <c r="J9">
        <v>7</v>
      </c>
      <c r="K9">
        <v>22</v>
      </c>
      <c r="L9">
        <f t="shared" si="5"/>
        <v>154</v>
      </c>
      <c r="M9">
        <f t="shared" si="4"/>
        <v>49</v>
      </c>
      <c r="N9">
        <f t="shared" si="6"/>
        <v>484</v>
      </c>
    </row>
    <row r="10" spans="1:23" x14ac:dyDescent="0.35">
      <c r="A10">
        <v>26</v>
      </c>
      <c r="B10">
        <v>0.05</v>
      </c>
      <c r="C10">
        <f t="shared" si="0"/>
        <v>1.3</v>
      </c>
      <c r="D10">
        <f t="shared" si="1"/>
        <v>676</v>
      </c>
      <c r="E10">
        <f t="shared" si="2"/>
        <v>2.5000000000000005E-3</v>
      </c>
      <c r="J10">
        <v>8</v>
      </c>
      <c r="K10" s="1">
        <v>13</v>
      </c>
      <c r="L10">
        <f t="shared" si="5"/>
        <v>104</v>
      </c>
      <c r="M10">
        <f t="shared" si="4"/>
        <v>64</v>
      </c>
      <c r="N10">
        <f t="shared" si="6"/>
        <v>169</v>
      </c>
      <c r="O10" s="1"/>
      <c r="P10" s="1"/>
      <c r="R10" s="1"/>
      <c r="S10" s="1"/>
      <c r="T10" s="1"/>
      <c r="U10" s="1"/>
      <c r="V10" s="1"/>
      <c r="W10" s="1"/>
    </row>
    <row r="11" spans="1:23" x14ac:dyDescent="0.35">
      <c r="A11">
        <v>24</v>
      </c>
      <c r="B11">
        <v>4.9000000000000002E-2</v>
      </c>
      <c r="C11">
        <f t="shared" si="0"/>
        <v>1.1760000000000002</v>
      </c>
      <c r="D11">
        <f t="shared" si="1"/>
        <v>576</v>
      </c>
      <c r="E11">
        <f t="shared" si="2"/>
        <v>2.4010000000000004E-3</v>
      </c>
      <c r="J11">
        <v>9</v>
      </c>
      <c r="K11">
        <v>22</v>
      </c>
      <c r="L11">
        <f t="shared" si="5"/>
        <v>198</v>
      </c>
      <c r="M11">
        <f t="shared" si="4"/>
        <v>81</v>
      </c>
      <c r="N11">
        <f t="shared" si="6"/>
        <v>484</v>
      </c>
      <c r="P11" s="1"/>
      <c r="W11" s="1"/>
    </row>
    <row r="12" spans="1:23" x14ac:dyDescent="0.35">
      <c r="A12">
        <v>22</v>
      </c>
      <c r="B12">
        <v>4.8500000000000001E-2</v>
      </c>
      <c r="C12">
        <f t="shared" si="0"/>
        <v>1.0669999999999999</v>
      </c>
      <c r="D12">
        <f t="shared" si="1"/>
        <v>484</v>
      </c>
      <c r="E12">
        <f t="shared" si="2"/>
        <v>2.3522500000000002E-3</v>
      </c>
      <c r="J12">
        <f>SUM(J2:J11,)</f>
        <v>45</v>
      </c>
      <c r="K12">
        <f t="shared" ref="K12:N12" si="7">SUM(K2:K11,)</f>
        <v>412</v>
      </c>
      <c r="L12">
        <f t="shared" si="7"/>
        <v>1577</v>
      </c>
      <c r="M12">
        <f t="shared" si="7"/>
        <v>285</v>
      </c>
      <c r="N12">
        <f t="shared" si="7"/>
        <v>27764</v>
      </c>
      <c r="P12" s="1"/>
      <c r="W12" s="1"/>
    </row>
    <row r="13" spans="1:23" x14ac:dyDescent="0.35">
      <c r="A13">
        <v>20</v>
      </c>
      <c r="B13">
        <v>4.7500000000000001E-2</v>
      </c>
      <c r="C13">
        <f t="shared" si="0"/>
        <v>0.95</v>
      </c>
      <c r="D13">
        <f t="shared" si="1"/>
        <v>400</v>
      </c>
      <c r="E13">
        <f>B13^2</f>
        <v>2.25625E-3</v>
      </c>
      <c r="P13" s="1"/>
      <c r="W13" s="1"/>
    </row>
    <row r="14" spans="1:23" x14ac:dyDescent="0.35">
      <c r="A14">
        <v>18</v>
      </c>
      <c r="B14">
        <v>4.7E-2</v>
      </c>
      <c r="C14">
        <f t="shared" si="0"/>
        <v>0.84599999999999997</v>
      </c>
      <c r="D14">
        <f t="shared" si="1"/>
        <v>324</v>
      </c>
      <c r="E14">
        <f t="shared" si="2"/>
        <v>2.209E-3</v>
      </c>
      <c r="P14" s="1"/>
      <c r="W14" s="1"/>
    </row>
    <row r="15" spans="1:23" x14ac:dyDescent="0.35">
      <c r="A15">
        <f>SUM(A2:A14,)</f>
        <v>390</v>
      </c>
      <c r="B15">
        <f t="shared" ref="B15:E15" si="8">SUM(B2:B14,)</f>
        <v>0.67800000000000005</v>
      </c>
      <c r="C15">
        <f t="shared" si="8"/>
        <v>20.683</v>
      </c>
      <c r="D15">
        <f t="shared" si="8"/>
        <v>12428</v>
      </c>
      <c r="E15">
        <f t="shared" si="8"/>
        <v>3.5522500000000005E-2</v>
      </c>
      <c r="P15" s="1"/>
      <c r="W15" s="1"/>
    </row>
    <row r="19" spans="1:16" x14ac:dyDescent="0.35">
      <c r="C19" t="s">
        <v>9</v>
      </c>
      <c r="D19">
        <f>CORREL(A2:A14,B2:B14)</f>
        <v>0.99819020486287213</v>
      </c>
      <c r="K19" s="1"/>
      <c r="L19" s="1"/>
      <c r="M19" s="1"/>
      <c r="N19" s="1"/>
      <c r="O19" s="1"/>
      <c r="P19" s="1"/>
    </row>
    <row r="20" spans="1:16" x14ac:dyDescent="0.35">
      <c r="P20" s="1"/>
    </row>
    <row r="21" spans="1:16" x14ac:dyDescent="0.35">
      <c r="C21" t="s">
        <v>3</v>
      </c>
      <c r="D21">
        <f>AVERAGE(A2:A14)</f>
        <v>30</v>
      </c>
      <c r="P21" s="1"/>
    </row>
    <row r="22" spans="1:16" x14ac:dyDescent="0.35">
      <c r="C22" t="s">
        <v>5</v>
      </c>
      <c r="D22">
        <f>STDEV(A2:A14)</f>
        <v>7.7888809636986149</v>
      </c>
      <c r="P22" s="1"/>
    </row>
    <row r="23" spans="1:16" x14ac:dyDescent="0.35">
      <c r="P23" s="1"/>
    </row>
    <row r="24" spans="1:16" x14ac:dyDescent="0.35">
      <c r="A24" s="1"/>
      <c r="B24" s="1"/>
      <c r="C24" t="s">
        <v>4</v>
      </c>
      <c r="D24">
        <f>AVERAGE(B2:B14)</f>
        <v>5.2153846153846155E-2</v>
      </c>
      <c r="E24" s="1"/>
      <c r="H24" s="1"/>
      <c r="I24" s="1"/>
      <c r="J24" s="1"/>
      <c r="P24" s="1"/>
    </row>
    <row r="25" spans="1:16" x14ac:dyDescent="0.35">
      <c r="C25" t="s">
        <v>6</v>
      </c>
      <c r="D25">
        <f>STDEV(B2:B14)</f>
        <v>3.6764147808735679E-3</v>
      </c>
    </row>
    <row r="26" spans="1:16" x14ac:dyDescent="0.35">
      <c r="A26" s="1"/>
      <c r="B26" s="1"/>
      <c r="E26" s="1"/>
      <c r="F26" s="1"/>
      <c r="H26" s="1"/>
      <c r="I26" s="1"/>
      <c r="J26" s="1"/>
      <c r="K26" s="1"/>
      <c r="L26" s="1"/>
      <c r="M26" s="1"/>
    </row>
    <row r="27" spans="1:16" x14ac:dyDescent="0.35">
      <c r="C27" t="s">
        <v>7</v>
      </c>
      <c r="D27">
        <f>D19*D25/D22</f>
        <v>4.7115384615384608E-4</v>
      </c>
    </row>
    <row r="28" spans="1:16" x14ac:dyDescent="0.35">
      <c r="C28" t="s">
        <v>8</v>
      </c>
      <c r="D28">
        <f>D24-D27*D21</f>
        <v>3.801923076923077E-2</v>
      </c>
    </row>
    <row r="30" spans="1:16" x14ac:dyDescent="0.35">
      <c r="C30" t="s">
        <v>10</v>
      </c>
      <c r="D30">
        <f>STEYX(B2:B14,A2:A14)</f>
        <v>2.3091487245668378E-4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Nugroho</dc:creator>
  <cp:lastModifiedBy>Adi Nugroho</cp:lastModifiedBy>
  <dcterms:created xsi:type="dcterms:W3CDTF">2023-09-17T03:54:19Z</dcterms:created>
  <dcterms:modified xsi:type="dcterms:W3CDTF">2024-05-27T13:34:02Z</dcterms:modified>
</cp:coreProperties>
</file>